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nu\Downloads\"/>
    </mc:Choice>
  </mc:AlternateContent>
  <xr:revisionPtr revIDLastSave="0" documentId="13_ncr:1_{D9C64091-FA1B-4437-828F-27C0CAFE602C}" xr6:coauthVersionLast="47" xr6:coauthVersionMax="47" xr10:uidLastSave="{00000000-0000-0000-0000-000000000000}"/>
  <bookViews>
    <workbookView xWindow="-120" yWindow="-120" windowWidth="20730" windowHeight="1116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data">Dataset!$A$1:$X$40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able_B">Task_5!$M$9:$N$18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23" i="20"/>
  <c r="F24" i="20"/>
  <c r="F25" i="20"/>
  <c r="F26" i="20"/>
  <c r="F27" i="20"/>
  <c r="F28" i="20"/>
  <c r="F29" i="20"/>
  <c r="F30" i="20"/>
  <c r="F31" i="20"/>
  <c r="F32" i="20"/>
  <c r="F33" i="20"/>
  <c r="F34" i="20"/>
  <c r="F35" i="20"/>
  <c r="F23" i="20"/>
  <c r="C22" i="19" a="1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5" i="15"/>
</calcChain>
</file>

<file path=xl/sharedStrings.xml><?xml version="1.0" encoding="utf-8"?>
<sst xmlns="http://schemas.openxmlformats.org/spreadsheetml/2006/main" count="409" uniqueCount="186">
  <si>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</si>
  <si>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</si>
  <si>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</si>
  <si>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</si>
  <si>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</si>
  <si>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</si>
  <si>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</si>
  <si>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</si>
  <si>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</si>
  <si>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</si>
  <si>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</si>
  <si>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</si>
  <si>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</si>
  <si>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</si>
  <si>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</si>
  <si>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</si>
  <si>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</si>
  <si>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</si>
  <si>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</si>
  <si>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</si>
  <si>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</si>
  <si>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</si>
  <si>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</si>
  <si>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</si>
  <si>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</si>
  <si>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</si>
  <si>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</si>
  <si>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</si>
  <si>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</si>
  <si>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</si>
  <si>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</si>
  <si>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</si>
  <si>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</si>
  <si>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</si>
  <si>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</si>
  <si>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</si>
  <si>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</si>
  <si>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</si>
  <si>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</si>
  <si>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</si>
  <si>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</si>
  <si>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</si>
  <si>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</si>
  <si>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</si>
  <si>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</si>
  <si>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</si>
  <si>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</si>
  <si>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</si>
  <si>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</si>
  <si>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</si>
  <si>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</si>
  <si>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</si>
  <si>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</si>
  <si>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</si>
  <si>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</si>
  <si>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</si>
  <si>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</si>
  <si>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</si>
  <si>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</si>
  <si>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</si>
  <si>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</si>
  <si>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</si>
  <si>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</si>
  <si>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</si>
  <si>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</si>
  <si>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</si>
  <si>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</si>
  <si>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</si>
  <si>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</si>
  <si>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</si>
  <si>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</si>
  <si>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</si>
  <si>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</si>
  <si>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</si>
  <si>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</si>
  <si>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</si>
  <si>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</si>
  <si>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</si>
  <si>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</si>
  <si>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</si>
  <si>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</si>
  <si>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</si>
  <si>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</si>
  <si>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</si>
  <si>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</si>
  <si>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</si>
  <si>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</si>
  <si>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</si>
  <si>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</si>
  <si>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</si>
  <si>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</si>
  <si>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</si>
  <si>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</si>
  <si>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</si>
  <si>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</si>
  <si>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</si>
  <si>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</si>
  <si>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</si>
  <si>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</si>
  <si>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</si>
  <si>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</si>
  <si>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</si>
  <si>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</si>
  <si>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</si>
  <si>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</si>
  <si>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</si>
  <si>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</si>
  <si>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</si>
  <si>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</si>
  <si>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</si>
  <si>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</si>
  <si>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</si>
  <si>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</si>
  <si>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</si>
  <si>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</si>
  <si>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</si>
  <si>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</si>
  <si>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</si>
  <si>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</si>
  <si>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</si>
  <si>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</si>
  <si>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</si>
  <si>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</si>
  <si>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</si>
  <si>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</si>
  <si>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</si>
  <si>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</si>
  <si>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</si>
  <si>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</si>
  <si>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</si>
  <si>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</si>
  <si>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</si>
  <si>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</si>
  <si>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</si>
  <si>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</si>
  <si>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</si>
  <si>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</si>
  <si>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</si>
  <si>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</si>
  <si>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</si>
  <si>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</si>
  <si>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</si>
  <si>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</si>
  <si>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</si>
  <si>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</si>
  <si>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</si>
  <si>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</si>
  <si>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</si>
  <si>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</si>
  <si>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</si>
  <si>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</si>
  <si>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</si>
  <si>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</si>
  <si>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</si>
  <si>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</si>
  <si>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</si>
  <si>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</si>
  <si>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</si>
  <si>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</si>
  <si>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</si>
  <si>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</si>
  <si>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</si>
  <si>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</si>
  <si>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</si>
  <si>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</si>
  <si>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</si>
  <si>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</si>
  <si>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</si>
  <si>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</si>
  <si>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</si>
  <si>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</si>
  <si>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</si>
  <si>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</si>
  <si>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</si>
  <si>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</si>
  <si>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</si>
  <si>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</si>
  <si>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Used in-build Text To Column Feature</t>
  </si>
  <si>
    <t>Select the Range &gt; Click on Data(in Ribbon)&gt;Text To Filer &gt;Click on Delimited &gt;Click other from list then in Box enter Delimeter &gt; Manually Enter the Destination Column(By Entering $ in it freez the column)</t>
  </si>
  <si>
    <t>SUM(IF(ISNA(C12:C21), 20, C12:C21))</t>
  </si>
  <si>
    <r>
      <rPr>
        <b/>
        <sz val="10"/>
        <color rgb="FF000000"/>
        <rFont val="Calibri"/>
        <family val="2"/>
        <scheme val="minor"/>
      </rPr>
      <t>Used ISNA in-bild function</t>
    </r>
    <r>
      <rPr>
        <sz val="10"/>
        <color rgb="FF000000"/>
        <rFont val="Calibri"/>
        <family val="2"/>
        <scheme val="minor"/>
      </rPr>
      <t xml:space="preserve"> = Checks weather the value is #NA  </t>
    </r>
  </si>
  <si>
    <r>
      <rPr>
        <b/>
        <sz val="10"/>
        <color rgb="FF000000"/>
        <rFont val="Calibri"/>
        <family val="2"/>
        <scheme val="minor"/>
      </rPr>
      <t>Used IF in-build function</t>
    </r>
    <r>
      <rPr>
        <sz val="10"/>
        <color rgb="FF000000"/>
        <rFont val="Calibri"/>
        <family val="2"/>
        <scheme val="minor"/>
      </rPr>
      <t xml:space="preserve"> = firstly it checks the condition then write True or false(like in our case instead of TRUE it'll take 20 Else the vale which is given in cell )</t>
    </r>
  </si>
  <si>
    <r>
      <rPr>
        <b/>
        <sz val="10"/>
        <color rgb="FF000000"/>
        <rFont val="Calibri"/>
        <family val="2"/>
        <scheme val="minor"/>
      </rPr>
      <t>Used SUM in-build function</t>
    </r>
    <r>
      <rPr>
        <sz val="10"/>
        <color rgb="FF000000"/>
        <rFont val="Calibri"/>
        <family val="2"/>
        <scheme val="minor"/>
      </rPr>
      <t xml:space="preserve"> = It adds the numbers from selected range</t>
    </r>
  </si>
  <si>
    <t>INDEX($A$9:$J$18,MATCH(VLOOKUP(A23,$M$10:$N$18,2,0),$A$9:$A$18,0),MATCH(VLOOKUP(B23,$M$10:$N$18,2,0),$A$9:$J$9,0))</t>
  </si>
  <si>
    <t>By applying a lookup on name_1 (Table_C) and name_2 (Table_C) to find their corresponding values from the Name column (Table_B).</t>
  </si>
  <si>
    <t>By using the INDEX and MATCH functions, along with the extracted corresponding values from both columns of table_C, find the values from Table_A.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</si>
</sst>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2"/>
      <color rgb="FF37415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9" fillId="0" borderId="0" xfId="0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B05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8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111</v>
      </c>
      <c r="C4" s="1"/>
    </row>
    <row r="5" spans="1:3" x14ac:dyDescent="0.2">
      <c r="A5" s="2" t="s">
        <v>152</v>
      </c>
    </row>
    <row r="8" spans="1:3" x14ac:dyDescent="0.2">
      <c r="A8" s="2" t="s">
        <v>173</v>
      </c>
    </row>
    <row r="9" spans="1:3" x14ac:dyDescent="0.2">
      <c r="A9" s="35" t="s">
        <v>171</v>
      </c>
      <c r="B9" s="25" t="s">
        <v>169</v>
      </c>
    </row>
    <row r="10" spans="1:3" x14ac:dyDescent="0.2">
      <c r="A10" s="34" t="s">
        <v>172</v>
      </c>
      <c r="B10" s="36">
        <v>25</v>
      </c>
    </row>
    <row r="11" spans="1:3" x14ac:dyDescent="0.2">
      <c r="A11" s="34" t="s">
        <v>55</v>
      </c>
      <c r="B11" s="36">
        <v>30</v>
      </c>
    </row>
    <row r="12" spans="1:3" x14ac:dyDescent="0.2">
      <c r="A12" s="34" t="s">
        <v>56</v>
      </c>
      <c r="B12" s="36">
        <v>10</v>
      </c>
    </row>
    <row r="13" spans="1:3" x14ac:dyDescent="0.2">
      <c r="A13" s="34" t="s">
        <v>85</v>
      </c>
      <c r="B13" s="36">
        <v>20</v>
      </c>
    </row>
    <row r="14" spans="1:3" x14ac:dyDescent="0.2">
      <c r="A14" s="34" t="s">
        <v>98</v>
      </c>
      <c r="B14" s="36">
        <v>40</v>
      </c>
    </row>
    <row r="15" spans="1:3" x14ac:dyDescent="0.2">
      <c r="A15" s="37" t="s">
        <v>170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G1" zoomScale="85" zoomScaleNormal="85" workbookViewId="0">
      <pane ySplit="1" topLeftCell="A2" activePane="bottomLeft" state="frozen"/>
      <selection pane="bottomLeft" activeCell="R2" sqref="R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4.1640625" style="23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5" bestFit="1" customWidth="1"/>
    <col min="25" max="16384" width="9" style="1"/>
  </cols>
  <sheetData>
    <row r="1" spans="1:24" s="3" customFormat="1" ht="14.85" customHeight="1" x14ac:dyDescent="0.25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G1:W1048576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25">
      <c r="A2" s="2"/>
      <c r="B2" s="5" t="s">
        <v>160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3">
        <f>SUMIF(Dataset!H:H,"&gt;20")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="85" zoomScaleNormal="85" workbookViewId="0">
      <selection activeCell="H8" sqref="H8"/>
    </sheetView>
  </sheetViews>
  <sheetFormatPr defaultColWidth="11" defaultRowHeight="12.75" x14ac:dyDescent="0.2"/>
  <cols>
    <col min="1" max="1" width="22.33203125" style="2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 x14ac:dyDescent="0.35">
      <c r="A1" s="41" t="s">
        <v>55</v>
      </c>
      <c r="B1" s="40" t="s">
        <v>164</v>
      </c>
    </row>
    <row r="2" spans="1:7" s="40" customFormat="1" ht="21" x14ac:dyDescent="0.35">
      <c r="B2" s="40" t="s">
        <v>161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7" t="s">
        <v>162</v>
      </c>
      <c r="B4" s="1"/>
      <c r="C4" s="1"/>
      <c r="D4" s="1"/>
      <c r="E4" s="1"/>
      <c r="F4" s="1"/>
      <c r="G4" s="1"/>
    </row>
    <row r="5" spans="1:7" ht="15" x14ac:dyDescent="0.25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5" x14ac:dyDescent="0.25">
      <c r="A6" s="7" t="s">
        <v>40</v>
      </c>
      <c r="B6" s="11">
        <f t="shared" ref="B6:B27" si="0">VLOOKUP(A6,data,7,0)</f>
        <v>2.7</v>
      </c>
      <c r="C6" s="11">
        <f t="shared" ref="C6:C27" si="1">VLOOKUP(A6,data,14,0)</f>
        <v>7.6</v>
      </c>
      <c r="D6" s="11">
        <f t="shared" ref="D6:D27" si="2">VLOOKUP(A6,data,18,0)</f>
        <v>4.2</v>
      </c>
      <c r="E6" s="11">
        <f t="shared" ref="E6:E27" si="3">VLOOKUP(A6,data,20,0)</f>
        <v>8.9</v>
      </c>
      <c r="F6" s="11">
        <f t="shared" ref="F6:F27" si="4">VLOOKUP(A6,data,22,0)</f>
        <v>4.2</v>
      </c>
    </row>
    <row r="7" spans="1:7" ht="15" x14ac:dyDescent="0.25">
      <c r="A7" s="7" t="s">
        <v>4</v>
      </c>
      <c r="B7" s="11">
        <f t="shared" si="0"/>
        <v>2.7</v>
      </c>
      <c r="C7" s="11">
        <f t="shared" si="1"/>
        <v>7.6</v>
      </c>
      <c r="D7" s="11">
        <f t="shared" si="2"/>
        <v>4.2</v>
      </c>
      <c r="E7" s="11">
        <f t="shared" si="3"/>
        <v>8.9</v>
      </c>
      <c r="F7" s="11">
        <f t="shared" si="4"/>
        <v>4.2</v>
      </c>
    </row>
    <row r="8" spans="1:7" ht="15" x14ac:dyDescent="0.25">
      <c r="A8" s="7" t="s">
        <v>7</v>
      </c>
      <c r="B8" s="11">
        <f t="shared" si="0"/>
        <v>3.6</v>
      </c>
      <c r="C8" s="11">
        <f t="shared" si="1"/>
        <v>11.1</v>
      </c>
      <c r="D8" s="11">
        <f t="shared" si="2"/>
        <v>5.8</v>
      </c>
      <c r="E8" s="11">
        <f t="shared" si="3"/>
        <v>12.2</v>
      </c>
      <c r="F8" s="11">
        <f t="shared" si="4"/>
        <v>5.8</v>
      </c>
    </row>
    <row r="9" spans="1:7" ht="15" x14ac:dyDescent="0.25">
      <c r="A9" s="7" t="s">
        <v>8</v>
      </c>
      <c r="B9" s="11">
        <f t="shared" si="0"/>
        <v>4.9000000000000004</v>
      </c>
      <c r="C9" s="11">
        <f t="shared" si="1"/>
        <v>13.3</v>
      </c>
      <c r="D9" s="11">
        <f t="shared" si="2"/>
        <v>8.1</v>
      </c>
      <c r="E9" s="11">
        <f t="shared" si="3"/>
        <v>17</v>
      </c>
      <c r="F9" s="11">
        <f t="shared" si="4"/>
        <v>8.1</v>
      </c>
    </row>
    <row r="10" spans="1:7" ht="15" x14ac:dyDescent="0.25">
      <c r="A10" s="7" t="s">
        <v>11</v>
      </c>
      <c r="B10" s="11">
        <f t="shared" si="0"/>
        <v>9.4</v>
      </c>
      <c r="C10" s="11">
        <f t="shared" si="1"/>
        <v>28.3</v>
      </c>
      <c r="D10" s="11">
        <f t="shared" si="2"/>
        <v>16.100000000000001</v>
      </c>
      <c r="E10" s="11">
        <f t="shared" si="3"/>
        <v>32.799999999999997</v>
      </c>
      <c r="F10" s="11">
        <f t="shared" si="4"/>
        <v>16.100000000000001</v>
      </c>
    </row>
    <row r="11" spans="1:7" ht="15" x14ac:dyDescent="0.25">
      <c r="A11" s="7" t="s">
        <v>12</v>
      </c>
      <c r="B11" s="11">
        <f t="shared" si="0"/>
        <v>11.6</v>
      </c>
      <c r="C11" s="11">
        <f t="shared" si="1"/>
        <v>35.200000000000003</v>
      </c>
      <c r="D11" s="11">
        <f t="shared" si="2"/>
        <v>21.3</v>
      </c>
      <c r="E11" s="11">
        <f t="shared" si="3"/>
        <v>43</v>
      </c>
      <c r="F11" s="11">
        <f t="shared" si="4"/>
        <v>21.3</v>
      </c>
    </row>
    <row r="12" spans="1:7" ht="15" x14ac:dyDescent="0.25">
      <c r="A12" s="7" t="s">
        <v>14</v>
      </c>
      <c r="B12" s="11">
        <f t="shared" si="0"/>
        <v>18.399999999999999</v>
      </c>
      <c r="C12" s="11">
        <f t="shared" si="1"/>
        <v>55.6</v>
      </c>
      <c r="D12" s="11">
        <f t="shared" si="2"/>
        <v>33.799999999999997</v>
      </c>
      <c r="E12" s="11">
        <f t="shared" si="3"/>
        <v>67.900000000000006</v>
      </c>
      <c r="F12" s="11">
        <f t="shared" si="4"/>
        <v>33.799999999999997</v>
      </c>
    </row>
    <row r="13" spans="1:7" ht="15" x14ac:dyDescent="0.25">
      <c r="A13" s="7" t="s">
        <v>15</v>
      </c>
      <c r="B13" s="11">
        <f t="shared" si="0"/>
        <v>0</v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11">
        <f t="shared" si="4"/>
        <v>0</v>
      </c>
    </row>
    <row r="14" spans="1:7" ht="15" x14ac:dyDescent="0.25">
      <c r="A14" s="7" t="s">
        <v>16</v>
      </c>
      <c r="B14" s="11">
        <f t="shared" si="0"/>
        <v>21.9</v>
      </c>
      <c r="C14" s="11">
        <f t="shared" si="1"/>
        <v>61.5</v>
      </c>
      <c r="D14" s="11">
        <f t="shared" si="2"/>
        <v>40.1</v>
      </c>
      <c r="E14" s="11">
        <f t="shared" si="3"/>
        <v>76.599999999999994</v>
      </c>
      <c r="F14" s="11">
        <f t="shared" si="4"/>
        <v>40.1</v>
      </c>
    </row>
    <row r="15" spans="1:7" ht="15" x14ac:dyDescent="0.25">
      <c r="A15" s="7" t="s">
        <v>18</v>
      </c>
      <c r="B15" s="11">
        <f t="shared" si="0"/>
        <v>26.8</v>
      </c>
      <c r="C15" s="11">
        <f t="shared" si="1"/>
        <v>79.599999999999994</v>
      </c>
      <c r="D15" s="11">
        <f t="shared" si="2"/>
        <v>47.9</v>
      </c>
      <c r="E15" s="11">
        <f t="shared" si="3"/>
        <v>96.8</v>
      </c>
      <c r="F15" s="11">
        <f t="shared" si="4"/>
        <v>47.9</v>
      </c>
    </row>
    <row r="16" spans="1:7" ht="15" x14ac:dyDescent="0.25">
      <c r="A16" s="7" t="s">
        <v>20</v>
      </c>
      <c r="B16" s="11">
        <f t="shared" si="0"/>
        <v>28.5</v>
      </c>
      <c r="C16" s="11">
        <f t="shared" si="1"/>
        <v>85.4</v>
      </c>
      <c r="D16" s="11">
        <f t="shared" si="2"/>
        <v>52.3</v>
      </c>
      <c r="E16" s="11">
        <f t="shared" si="3"/>
        <v>106.1</v>
      </c>
      <c r="F16" s="11">
        <f t="shared" si="4"/>
        <v>52.3</v>
      </c>
    </row>
    <row r="17" spans="1:6" ht="15" x14ac:dyDescent="0.25">
      <c r="A17" s="7" t="s">
        <v>22</v>
      </c>
      <c r="B17" s="11">
        <f t="shared" si="0"/>
        <v>30.7</v>
      </c>
      <c r="C17" s="11">
        <f t="shared" si="1"/>
        <v>92.1</v>
      </c>
      <c r="D17" s="11">
        <f t="shared" si="2"/>
        <v>57</v>
      </c>
      <c r="E17" s="11">
        <f t="shared" si="3"/>
        <v>115.1</v>
      </c>
      <c r="F17" s="11">
        <f t="shared" si="4"/>
        <v>57</v>
      </c>
    </row>
    <row r="18" spans="1:6" ht="15" x14ac:dyDescent="0.25">
      <c r="A18" s="7" t="s">
        <v>23</v>
      </c>
      <c r="B18" s="11">
        <f t="shared" si="0"/>
        <v>33.799999999999997</v>
      </c>
      <c r="C18" s="11">
        <f t="shared" si="1"/>
        <v>101.3</v>
      </c>
      <c r="D18" s="11">
        <f t="shared" si="2"/>
        <v>61.4</v>
      </c>
      <c r="E18" s="11">
        <f t="shared" si="3"/>
        <v>124.4</v>
      </c>
      <c r="F18" s="11">
        <f t="shared" si="4"/>
        <v>61.4</v>
      </c>
    </row>
    <row r="19" spans="1:6" ht="15" x14ac:dyDescent="0.25">
      <c r="A19" s="7" t="s">
        <v>24</v>
      </c>
      <c r="B19" s="11">
        <f t="shared" si="0"/>
        <v>34.700000000000003</v>
      </c>
      <c r="C19" s="11">
        <f t="shared" si="1"/>
        <v>106.1</v>
      </c>
      <c r="D19" s="11">
        <f t="shared" si="2"/>
        <v>63.6</v>
      </c>
      <c r="E19" s="11">
        <f t="shared" si="3"/>
        <v>128.6</v>
      </c>
      <c r="F19" s="11">
        <f t="shared" si="4"/>
        <v>63.6</v>
      </c>
    </row>
    <row r="20" spans="1:6" ht="15" x14ac:dyDescent="0.25">
      <c r="A20" s="7" t="s">
        <v>28</v>
      </c>
      <c r="B20" s="11">
        <f t="shared" si="0"/>
        <v>0</v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11">
        <f t="shared" si="4"/>
        <v>0</v>
      </c>
    </row>
    <row r="21" spans="1:6" ht="15" x14ac:dyDescent="0.25">
      <c r="A21" s="7" t="s">
        <v>57</v>
      </c>
      <c r="B21" s="11">
        <f t="shared" si="0"/>
        <v>41.3</v>
      </c>
      <c r="C21" s="11">
        <f t="shared" si="1"/>
        <v>124.4</v>
      </c>
      <c r="D21" s="11">
        <f t="shared" si="2"/>
        <v>75</v>
      </c>
      <c r="E21" s="11">
        <f t="shared" si="3"/>
        <v>151.5</v>
      </c>
      <c r="F21" s="11">
        <f t="shared" si="4"/>
        <v>75</v>
      </c>
    </row>
    <row r="22" spans="1:6" ht="15" x14ac:dyDescent="0.25">
      <c r="A22" s="7" t="s">
        <v>58</v>
      </c>
      <c r="B22" s="11">
        <f t="shared" si="0"/>
        <v>-1</v>
      </c>
      <c r="C22" s="11">
        <f t="shared" si="1"/>
        <v>-1</v>
      </c>
      <c r="D22" s="11">
        <f t="shared" si="2"/>
        <v>-1</v>
      </c>
      <c r="E22" s="11">
        <f t="shared" si="3"/>
        <v>-1</v>
      </c>
      <c r="F22" s="11">
        <f t="shared" si="4"/>
        <v>-1</v>
      </c>
    </row>
    <row r="23" spans="1:6" ht="15" x14ac:dyDescent="0.25">
      <c r="A23" s="7" t="s">
        <v>31</v>
      </c>
      <c r="B23" s="11">
        <f t="shared" si="0"/>
        <v>45</v>
      </c>
      <c r="C23" s="11">
        <f t="shared" si="1"/>
        <v>133.4</v>
      </c>
      <c r="D23" s="11">
        <f t="shared" si="2"/>
        <v>79.400000000000006</v>
      </c>
      <c r="E23" s="11">
        <f t="shared" si="3"/>
        <v>160.9</v>
      </c>
      <c r="F23" s="11">
        <f t="shared" si="4"/>
        <v>79.400000000000006</v>
      </c>
    </row>
    <row r="24" spans="1:6" ht="15" x14ac:dyDescent="0.25">
      <c r="A24" s="7" t="s">
        <v>32</v>
      </c>
      <c r="B24" s="11">
        <f t="shared" si="0"/>
        <v>-1</v>
      </c>
      <c r="C24" s="11">
        <f t="shared" si="1"/>
        <v>-1</v>
      </c>
      <c r="D24" s="11">
        <f t="shared" si="2"/>
        <v>-1</v>
      </c>
      <c r="E24" s="11">
        <f t="shared" si="3"/>
        <v>-1</v>
      </c>
      <c r="F24" s="11">
        <f t="shared" si="4"/>
        <v>-1</v>
      </c>
    </row>
    <row r="25" spans="1:6" ht="15" x14ac:dyDescent="0.25">
      <c r="A25" s="7" t="s">
        <v>34</v>
      </c>
      <c r="B25" s="11">
        <f t="shared" si="0"/>
        <v>43.3</v>
      </c>
      <c r="C25" s="11">
        <f t="shared" si="1"/>
        <v>128.6</v>
      </c>
      <c r="D25" s="11">
        <f t="shared" si="2"/>
        <v>79.400000000000006</v>
      </c>
      <c r="E25" s="11">
        <f t="shared" si="3"/>
        <v>160.9</v>
      </c>
      <c r="F25" s="11">
        <f t="shared" si="4"/>
        <v>79.400000000000006</v>
      </c>
    </row>
    <row r="26" spans="1:6" ht="15" x14ac:dyDescent="0.25">
      <c r="A26" s="7" t="s">
        <v>37</v>
      </c>
      <c r="B26" s="11">
        <f t="shared" si="0"/>
        <v>49.1</v>
      </c>
      <c r="C26" s="11">
        <f t="shared" si="1"/>
        <v>146.80000000000001</v>
      </c>
      <c r="D26" s="11">
        <f t="shared" si="2"/>
        <v>90.9</v>
      </c>
      <c r="E26" s="11">
        <f t="shared" si="3"/>
        <v>183.5</v>
      </c>
      <c r="F26" s="11">
        <f t="shared" si="4"/>
        <v>90.9</v>
      </c>
    </row>
    <row r="27" spans="1:6" ht="15" x14ac:dyDescent="0.25">
      <c r="A27" s="7" t="s">
        <v>39</v>
      </c>
      <c r="B27" s="11">
        <f t="shared" si="0"/>
        <v>51.8</v>
      </c>
      <c r="C27" s="11">
        <f t="shared" si="1"/>
        <v>156.4</v>
      </c>
      <c r="D27" s="11">
        <f t="shared" si="2"/>
        <v>93.1</v>
      </c>
      <c r="E27" s="11">
        <f t="shared" si="3"/>
        <v>188.1</v>
      </c>
      <c r="F27" s="11">
        <f t="shared" si="4"/>
        <v>93.1</v>
      </c>
    </row>
    <row r="28" spans="1:6" ht="15" x14ac:dyDescent="0.25">
      <c r="A28" s="18" t="s">
        <v>82</v>
      </c>
      <c r="B28" s="30">
        <f>MIN(B6:B27)</f>
        <v>-1</v>
      </c>
      <c r="C28" s="30">
        <f t="shared" ref="C28:F28" si="5">MIN(C6:C27)</f>
        <v>-1</v>
      </c>
      <c r="D28" s="30">
        <f t="shared" si="5"/>
        <v>-1</v>
      </c>
      <c r="E28" s="30">
        <f t="shared" si="5"/>
        <v>-1</v>
      </c>
      <c r="F28" s="30">
        <f t="shared" si="5"/>
        <v>-1</v>
      </c>
    </row>
    <row r="29" spans="1:6" ht="15" x14ac:dyDescent="0.25">
      <c r="A29" s="18" t="s">
        <v>83</v>
      </c>
      <c r="B29" s="30">
        <f>MAX(B7:B28)</f>
        <v>51.8</v>
      </c>
      <c r="C29" s="30">
        <f t="shared" ref="C29:F29" si="6">MAX(C7:C28)</f>
        <v>156.4</v>
      </c>
      <c r="D29" s="30">
        <f t="shared" si="6"/>
        <v>93.1</v>
      </c>
      <c r="E29" s="30">
        <f t="shared" si="6"/>
        <v>188.1</v>
      </c>
      <c r="F29" s="30">
        <f t="shared" si="6"/>
        <v>93.1</v>
      </c>
    </row>
    <row r="30" spans="1:6" ht="15" x14ac:dyDescent="0.25">
      <c r="A30" s="18" t="s">
        <v>84</v>
      </c>
      <c r="B30" s="30">
        <f>ROUND(AVERAGE(B6:B27),1)</f>
        <v>20.8</v>
      </c>
      <c r="C30" s="30">
        <f t="shared" ref="C30:F30" si="7">ROUND(AVERAGE(C6:C27),1)</f>
        <v>62.4</v>
      </c>
      <c r="D30" s="30">
        <f t="shared" si="7"/>
        <v>37.799999999999997</v>
      </c>
      <c r="E30" s="30">
        <f t="shared" si="7"/>
        <v>76.400000000000006</v>
      </c>
      <c r="F30" s="30">
        <f t="shared" si="7"/>
        <v>37.799999999999997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I9" sqref="I9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0" customFormat="1" ht="21" x14ac:dyDescent="0.35">
      <c r="A1" s="41" t="s">
        <v>56</v>
      </c>
      <c r="B1" s="40" t="s">
        <v>174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151</v>
      </c>
    </row>
    <row r="5" spans="1:10" ht="18.75" x14ac:dyDescent="0.3">
      <c r="A5" s="42" t="s">
        <v>53</v>
      </c>
      <c r="B5" s="2" t="s">
        <v>177</v>
      </c>
    </row>
    <row r="6" spans="1:10" ht="18.75" x14ac:dyDescent="0.3">
      <c r="A6" s="42" t="s">
        <v>153</v>
      </c>
      <c r="B6" s="2" t="s">
        <v>178</v>
      </c>
    </row>
    <row r="7" spans="1:10" ht="18.75" x14ac:dyDescent="0.3">
      <c r="A7" s="42"/>
      <c r="B7" s="39"/>
    </row>
    <row r="9" spans="1:10" ht="23.25" x14ac:dyDescent="0.35">
      <c r="A9" s="17" t="s">
        <v>165</v>
      </c>
      <c r="I9" s="2"/>
      <c r="J9" s="2"/>
    </row>
    <row r="10" spans="1:10" x14ac:dyDescent="0.25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25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25" x14ac:dyDescent="0.35">
      <c r="A14" s="17" t="s">
        <v>162</v>
      </c>
    </row>
    <row r="15" spans="1:10" x14ac:dyDescent="0.25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25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25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25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25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25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25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25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25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25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25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25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25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25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25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25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25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25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25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25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25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25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25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25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25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25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25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25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25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25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25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25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25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25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25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25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25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25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25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25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8" zoomScaleNormal="100" workbookViewId="0">
      <selection activeCell="D24" sqref="D24"/>
    </sheetView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4.6640625" style="2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1" t="s">
        <v>85</v>
      </c>
      <c r="B1" s="40" t="s">
        <v>167</v>
      </c>
    </row>
    <row r="2" spans="1:3" ht="18.75" x14ac:dyDescent="0.3">
      <c r="B2" s="39" t="s">
        <v>166</v>
      </c>
    </row>
    <row r="5" spans="1:3" ht="15" x14ac:dyDescent="0.25">
      <c r="B5" s="1" t="s">
        <v>151</v>
      </c>
    </row>
    <row r="6" spans="1:3" ht="15" x14ac:dyDescent="0.25">
      <c r="A6" s="3" t="s">
        <v>53</v>
      </c>
      <c r="B6" s="1"/>
      <c r="C6" s="46" t="s">
        <v>179</v>
      </c>
    </row>
    <row r="7" spans="1:3" ht="15" x14ac:dyDescent="0.25">
      <c r="A7" s="3" t="s">
        <v>153</v>
      </c>
      <c r="B7" s="1"/>
      <c r="C7" s="2" t="s">
        <v>180</v>
      </c>
    </row>
    <row r="8" spans="1:3" x14ac:dyDescent="0.2">
      <c r="C8" s="2" t="s">
        <v>181</v>
      </c>
    </row>
    <row r="9" spans="1:3" x14ac:dyDescent="0.2">
      <c r="C9" s="2" t="s">
        <v>182</v>
      </c>
    </row>
    <row r="10" spans="1:3" ht="23.25" x14ac:dyDescent="0.35">
      <c r="A10" s="17" t="s">
        <v>162</v>
      </c>
    </row>
    <row r="11" spans="1:3" ht="15" x14ac:dyDescent="0.25">
      <c r="A11" s="31" t="s">
        <v>86</v>
      </c>
      <c r="B11" s="16" t="s">
        <v>87</v>
      </c>
      <c r="C11" s="16" t="s">
        <v>88</v>
      </c>
    </row>
    <row r="12" spans="1:3" ht="15" x14ac:dyDescent="0.25">
      <c r="A12" s="31">
        <v>44927</v>
      </c>
      <c r="B12" s="16" t="s">
        <v>59</v>
      </c>
      <c r="C12" s="16">
        <v>200</v>
      </c>
    </row>
    <row r="13" spans="1:3" ht="15" x14ac:dyDescent="0.25">
      <c r="A13" s="31">
        <v>44928</v>
      </c>
      <c r="B13" s="16" t="s">
        <v>60</v>
      </c>
      <c r="C13" s="16" t="e">
        <v>#N/A</v>
      </c>
    </row>
    <row r="14" spans="1:3" ht="15" x14ac:dyDescent="0.25">
      <c r="A14" s="31">
        <v>44929</v>
      </c>
      <c r="B14" s="16" t="s">
        <v>61</v>
      </c>
      <c r="C14" s="16">
        <v>50</v>
      </c>
    </row>
    <row r="15" spans="1:3" ht="15" x14ac:dyDescent="0.25">
      <c r="A15" s="31">
        <v>44930</v>
      </c>
      <c r="B15" s="16" t="s">
        <v>62</v>
      </c>
      <c r="C15" s="16" t="e">
        <v>#N/A</v>
      </c>
    </row>
    <row r="16" spans="1:3" ht="15" x14ac:dyDescent="0.25">
      <c r="A16" s="31">
        <v>44931</v>
      </c>
      <c r="B16" s="16" t="s">
        <v>63</v>
      </c>
      <c r="C16" s="16">
        <v>10</v>
      </c>
    </row>
    <row r="17" spans="1:3" ht="15" x14ac:dyDescent="0.25">
      <c r="A17" s="31">
        <v>44932</v>
      </c>
      <c r="B17" s="16" t="s">
        <v>154</v>
      </c>
      <c r="C17" s="16">
        <v>150</v>
      </c>
    </row>
    <row r="18" spans="1:3" ht="15" x14ac:dyDescent="0.25">
      <c r="A18" s="31">
        <v>44933</v>
      </c>
      <c r="B18" s="16" t="s">
        <v>155</v>
      </c>
      <c r="C18" s="16">
        <v>80</v>
      </c>
    </row>
    <row r="19" spans="1:3" ht="15" x14ac:dyDescent="0.25">
      <c r="A19" s="31">
        <v>44934</v>
      </c>
      <c r="B19" s="16" t="s">
        <v>156</v>
      </c>
      <c r="C19" s="16" t="e">
        <v>#N/A</v>
      </c>
    </row>
    <row r="20" spans="1:3" ht="15" x14ac:dyDescent="0.25">
      <c r="A20" s="31">
        <v>44935</v>
      </c>
      <c r="B20" s="16" t="s">
        <v>157</v>
      </c>
      <c r="C20" s="16">
        <v>30</v>
      </c>
    </row>
    <row r="21" spans="1:3" ht="15" x14ac:dyDescent="0.25">
      <c r="A21" s="31">
        <v>44936</v>
      </c>
      <c r="B21" s="16" t="s">
        <v>158</v>
      </c>
      <c r="C21" s="16" t="e">
        <v>#N/A</v>
      </c>
    </row>
    <row r="22" spans="1:3" ht="15" x14ac:dyDescent="0.25">
      <c r="B22" s="16" t="s">
        <v>159</v>
      </c>
      <c r="C22" s="24">
        <f t="array" ref="C22">SUM(IF(ISNA(C12:C21), 20, 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4" zoomScale="90" zoomScaleNormal="90" workbookViewId="0">
      <selection activeCell="H23" sqref="H23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1" t="s">
        <v>98</v>
      </c>
      <c r="B1" s="40" t="s">
        <v>175</v>
      </c>
    </row>
    <row r="3" spans="1:14" ht="15" x14ac:dyDescent="0.25">
      <c r="B3" s="1" t="s">
        <v>151</v>
      </c>
    </row>
    <row r="4" spans="1:14" ht="18.75" x14ac:dyDescent="0.3">
      <c r="A4" s="42" t="s">
        <v>53</v>
      </c>
      <c r="B4" s="1"/>
      <c r="C4" s="2" t="s">
        <v>183</v>
      </c>
    </row>
    <row r="5" spans="1:14" ht="18.75" x14ac:dyDescent="0.3">
      <c r="A5" s="42" t="s">
        <v>153</v>
      </c>
      <c r="B5" s="1"/>
      <c r="C5" s="2" t="s">
        <v>184</v>
      </c>
    </row>
    <row r="6" spans="1:14" ht="17.25" x14ac:dyDescent="0.3">
      <c r="A6" s="3"/>
      <c r="B6" s="1"/>
      <c r="C6" s="47" t="s">
        <v>185</v>
      </c>
    </row>
    <row r="8" spans="1:14" ht="23.25" x14ac:dyDescent="0.35">
      <c r="A8" s="17" t="s">
        <v>162</v>
      </c>
      <c r="M8" s="17" t="s">
        <v>163</v>
      </c>
    </row>
    <row r="9" spans="1:14" ht="15" x14ac:dyDescent="0.25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5" x14ac:dyDescent="0.25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5" x14ac:dyDescent="0.25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5" x14ac:dyDescent="0.25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5" x14ac:dyDescent="0.25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5" x14ac:dyDescent="0.25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5" x14ac:dyDescent="0.25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5" x14ac:dyDescent="0.25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5" x14ac:dyDescent="0.25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5" x14ac:dyDescent="0.25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25" x14ac:dyDescent="0.35">
      <c r="A21" s="17" t="s">
        <v>168</v>
      </c>
    </row>
    <row r="22" spans="1:14" ht="15" x14ac:dyDescent="0.25">
      <c r="A22" s="13" t="s">
        <v>100</v>
      </c>
      <c r="B22" s="16" t="s">
        <v>101</v>
      </c>
      <c r="C22" s="15" t="s">
        <v>102</v>
      </c>
    </row>
    <row r="23" spans="1:14" ht="15" x14ac:dyDescent="0.25">
      <c r="A23" s="7">
        <v>10100</v>
      </c>
      <c r="B23" s="11">
        <v>10102</v>
      </c>
      <c r="C23" s="24">
        <f>INDEX($A$9:$J$18,MATCH(VLOOKUP(A23,$M$10:$N$18,2,0),$A$9:$A$18,0),MATCH(VLOOKUP(B23,$M$10:$N$18,2,0),$A$9:$J$9,0))</f>
        <v>95</v>
      </c>
      <c r="F23" s="43" t="str">
        <f>VLOOKUP(A23,$M$10:$N$18,2,0)</f>
        <v>A</v>
      </c>
      <c r="G23" s="43" t="str">
        <f>VLOOKUP(B23,$M$10:$N$18,2,0)</f>
        <v>B</v>
      </c>
    </row>
    <row r="24" spans="1:14" ht="15" x14ac:dyDescent="0.25">
      <c r="A24" s="7">
        <v>10100</v>
      </c>
      <c r="B24" s="11">
        <v>10104</v>
      </c>
      <c r="C24" s="24">
        <f t="shared" ref="C24:C35" si="0">INDEX($A$9:$J$18,MATCH(VLOOKUP(A24,$M$10:$N$18,2,0),$A$9:$A$18,0),MATCH(VLOOKUP(B24,$M$10:$N$18,2,0),$A$9:$J$9,0))</f>
        <v>-1</v>
      </c>
      <c r="F24" s="43" t="str">
        <f t="shared" ref="F24:F35" si="1">VLOOKUP(A24,$M$10:$N$18,2,0)</f>
        <v>A</v>
      </c>
      <c r="G24" s="43" t="str">
        <f t="shared" ref="G24:G35" si="2">VLOOKUP(B24,$M$10:$N$18,2,0)</f>
        <v>C</v>
      </c>
    </row>
    <row r="25" spans="1:14" ht="15" x14ac:dyDescent="0.25">
      <c r="A25" s="7">
        <v>10108</v>
      </c>
      <c r="B25" s="11">
        <v>10102</v>
      </c>
      <c r="C25" s="24">
        <f t="shared" si="0"/>
        <v>160</v>
      </c>
      <c r="F25" s="43" t="str">
        <f t="shared" si="1"/>
        <v>E</v>
      </c>
      <c r="G25" s="43" t="str">
        <f t="shared" si="2"/>
        <v>B</v>
      </c>
    </row>
    <row r="26" spans="1:14" ht="15" x14ac:dyDescent="0.25">
      <c r="A26" s="7">
        <v>10100</v>
      </c>
      <c r="B26" s="11">
        <v>10106</v>
      </c>
      <c r="C26" s="24">
        <f t="shared" si="0"/>
        <v>185</v>
      </c>
      <c r="F26" s="43" t="str">
        <f t="shared" si="1"/>
        <v>A</v>
      </c>
      <c r="G26" s="43" t="str">
        <f t="shared" si="2"/>
        <v>D</v>
      </c>
    </row>
    <row r="27" spans="1:14" ht="15" x14ac:dyDescent="0.25">
      <c r="A27" s="7">
        <v>10108</v>
      </c>
      <c r="B27" s="11">
        <v>10110</v>
      </c>
      <c r="C27" s="24">
        <f t="shared" si="0"/>
        <v>50</v>
      </c>
      <c r="F27" s="43" t="str">
        <f t="shared" si="1"/>
        <v>E</v>
      </c>
      <c r="G27" s="43" t="str">
        <f t="shared" si="2"/>
        <v>F</v>
      </c>
    </row>
    <row r="28" spans="1:14" ht="15" x14ac:dyDescent="0.25">
      <c r="A28" s="7">
        <v>10102</v>
      </c>
      <c r="B28" s="11">
        <v>10104</v>
      </c>
      <c r="C28" s="24">
        <f t="shared" si="0"/>
        <v>-1</v>
      </c>
      <c r="F28" s="43" t="str">
        <f t="shared" si="1"/>
        <v>B</v>
      </c>
      <c r="G28" s="43" t="str">
        <f t="shared" si="2"/>
        <v>C</v>
      </c>
    </row>
    <row r="29" spans="1:14" ht="15" x14ac:dyDescent="0.25">
      <c r="A29" s="7">
        <v>10106</v>
      </c>
      <c r="B29" s="11">
        <v>10108</v>
      </c>
      <c r="C29" s="24">
        <f t="shared" si="0"/>
        <v>70</v>
      </c>
      <c r="F29" s="43" t="str">
        <f t="shared" si="1"/>
        <v>D</v>
      </c>
      <c r="G29" s="43" t="str">
        <f t="shared" si="2"/>
        <v>E</v>
      </c>
    </row>
    <row r="30" spans="1:14" ht="15" x14ac:dyDescent="0.25">
      <c r="A30" s="7">
        <v>10102</v>
      </c>
      <c r="B30" s="11">
        <v>10106</v>
      </c>
      <c r="C30" s="24">
        <f t="shared" si="0"/>
        <v>90</v>
      </c>
      <c r="F30" s="43" t="str">
        <f t="shared" si="1"/>
        <v>B</v>
      </c>
      <c r="G30" s="43" t="str">
        <f t="shared" si="2"/>
        <v>D</v>
      </c>
    </row>
    <row r="31" spans="1:14" ht="15" x14ac:dyDescent="0.25">
      <c r="A31" s="7">
        <v>10110</v>
      </c>
      <c r="B31" s="11">
        <v>10114</v>
      </c>
      <c r="C31" s="24">
        <f t="shared" si="0"/>
        <v>180</v>
      </c>
      <c r="F31" s="43" t="str">
        <f t="shared" si="1"/>
        <v>F</v>
      </c>
      <c r="G31" s="43" t="str">
        <f t="shared" si="2"/>
        <v>H</v>
      </c>
    </row>
    <row r="32" spans="1:14" ht="15" x14ac:dyDescent="0.25">
      <c r="A32" s="7">
        <v>10104</v>
      </c>
      <c r="B32" s="11">
        <v>10106</v>
      </c>
      <c r="C32" s="24">
        <f t="shared" si="0"/>
        <v>60</v>
      </c>
      <c r="F32" s="43" t="str">
        <f t="shared" si="1"/>
        <v>C</v>
      </c>
      <c r="G32" s="43" t="str">
        <f t="shared" si="2"/>
        <v>D</v>
      </c>
    </row>
    <row r="33" spans="1:7" ht="15" x14ac:dyDescent="0.25">
      <c r="A33" s="7">
        <v>10110</v>
      </c>
      <c r="B33" s="11">
        <v>10112</v>
      </c>
      <c r="C33" s="24">
        <f t="shared" si="0"/>
        <v>115</v>
      </c>
      <c r="F33" s="43" t="str">
        <f t="shared" si="1"/>
        <v>F</v>
      </c>
      <c r="G33" s="43" t="str">
        <f t="shared" si="2"/>
        <v>G</v>
      </c>
    </row>
    <row r="34" spans="1:7" ht="15" x14ac:dyDescent="0.25">
      <c r="A34" s="7">
        <v>10100</v>
      </c>
      <c r="B34" s="11">
        <v>10114</v>
      </c>
      <c r="C34" s="24">
        <f t="shared" si="0"/>
        <v>480</v>
      </c>
      <c r="F34" s="43" t="str">
        <f t="shared" si="1"/>
        <v>A</v>
      </c>
      <c r="G34" s="43" t="str">
        <f t="shared" si="2"/>
        <v>H</v>
      </c>
    </row>
    <row r="35" spans="1:7" ht="15" x14ac:dyDescent="0.25">
      <c r="A35" s="8">
        <v>10112</v>
      </c>
      <c r="B35" s="12">
        <v>10116</v>
      </c>
      <c r="C35" s="24">
        <f t="shared" si="0"/>
        <v>105</v>
      </c>
      <c r="F35" s="43" t="str">
        <f t="shared" si="1"/>
        <v>G</v>
      </c>
      <c r="G35" s="43" t="str">
        <f t="shared" si="2"/>
        <v>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Instructions</vt:lpstr>
      <vt:lpstr>Dataset</vt:lpstr>
      <vt:lpstr>Task_1</vt:lpstr>
      <vt:lpstr>Task_2</vt:lpstr>
      <vt:lpstr>Task_3</vt:lpstr>
      <vt:lpstr>Task_4</vt:lpstr>
      <vt:lpstr>Task_5</vt:lpstr>
      <vt:lpstr>data</vt:lpstr>
      <vt:lpstr>Table_B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Ashish Bomble</cp:lastModifiedBy>
  <dcterms:created xsi:type="dcterms:W3CDTF">2015-02-10T17:33:11Z</dcterms:created>
  <dcterms:modified xsi:type="dcterms:W3CDTF">2023-12-09T19:16:22Z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2023-12-09T15:08:17Z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c6c26eea-cdf3-49e5-904d-b761f833a425</vt:lpwstr>
  </property>
  <property fmtid="{D5CDD505-2E9C-101B-9397-08002B2CF9AE}" pid="7" name="MSIP_Label_defa4170-0d19-0005-0004-bc88714345d2_ActionId">
    <vt:lpwstr>74081d49-6139-4ce9-af3b-1eadc83e3fac</vt:lpwstr>
  </property>
  <property fmtid="{D5CDD505-2E9C-101B-9397-08002B2CF9AE}" pid="8" name="MSIP_Label_defa4170-0d19-0005-0004-bc88714345d2_ContentBits">
    <vt:lpwstr>0</vt:lpwstr>
  </property>
</Properties>
</file>